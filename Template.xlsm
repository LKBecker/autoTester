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18195" windowHeight="11040" tabRatio="915" activeTab="3"/>
  </bookViews>
  <sheets>
    <sheet name="Extras" sheetId="7" r:id="rId1"/>
    <sheet name="TestLog" sheetId="196" r:id="rId2"/>
    <sheet name="Template" sheetId="2" r:id="rId3"/>
    <sheet name="Scenarios" sheetId="412" r:id="rId4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412" l="1"/>
  <c r="B5" i="2" l="1"/>
  <c r="R9" i="412" l="1"/>
  <c r="S9" i="412" s="1"/>
  <c r="R8" i="412"/>
  <c r="R7" i="412"/>
  <c r="R6" i="412"/>
  <c r="R10" i="412" l="1"/>
</calcChain>
</file>

<file path=xl/sharedStrings.xml><?xml version="1.0" encoding="utf-8"?>
<sst xmlns="http://schemas.openxmlformats.org/spreadsheetml/2006/main" count="116" uniqueCount="101">
  <si>
    <t>PASS</t>
  </si>
  <si>
    <t>FAIL</t>
  </si>
  <si>
    <t xml:space="preserve">HIGH </t>
  </si>
  <si>
    <t>MEDIUM</t>
  </si>
  <si>
    <t>LOW</t>
  </si>
  <si>
    <t>YES</t>
  </si>
  <si>
    <t>NO</t>
  </si>
  <si>
    <t>IN PROGRESS</t>
  </si>
  <si>
    <t>Script</t>
  </si>
  <si>
    <t>Script author</t>
  </si>
  <si>
    <t>Script date</t>
  </si>
  <si>
    <t>Tester</t>
  </si>
  <si>
    <t>Test date</t>
  </si>
  <si>
    <t>Prerequisites</t>
  </si>
  <si>
    <t>Scenario</t>
  </si>
  <si>
    <t>Sample numbers used</t>
  </si>
  <si>
    <t>Testing record</t>
  </si>
  <si>
    <t>Step</t>
  </si>
  <si>
    <t>Instructions</t>
  </si>
  <si>
    <t>Expected outcome</t>
  </si>
  <si>
    <t>Status</t>
  </si>
  <si>
    <t>Comments</t>
  </si>
  <si>
    <t>Severity</t>
  </si>
  <si>
    <t>Flagged to Clinisys</t>
  </si>
  <si>
    <t>Log into WPE as described previously</t>
  </si>
  <si>
    <t>Logged in</t>
  </si>
  <si>
    <t>Construct patient as required in scenario</t>
  </si>
  <si>
    <t>Request appropriate test</t>
  </si>
  <si>
    <t>Check sample suffix</t>
  </si>
  <si>
    <t>Enter results as in scenario</t>
  </si>
  <si>
    <t>Results can be entered</t>
  </si>
  <si>
    <t>Check units correct</t>
  </si>
  <si>
    <t>Check decimal places correct</t>
  </si>
  <si>
    <t>Check reference range correct</t>
  </si>
  <si>
    <t>Check autocomment behaviour</t>
  </si>
  <si>
    <t>Check Authorisation queue behaviour - goes to correct queue if necessary</t>
  </si>
  <si>
    <t>Manually refer to phone list queue if needed</t>
  </si>
  <si>
    <t>Check marked as phoned</t>
  </si>
  <si>
    <t>Check validation behaviour</t>
  </si>
  <si>
    <t>Results available for clinical teams</t>
  </si>
  <si>
    <t>Testing</t>
  </si>
  <si>
    <t>Incomplete</t>
  </si>
  <si>
    <t>Number</t>
  </si>
  <si>
    <t>Tab</t>
  </si>
  <si>
    <t>Priority</t>
  </si>
  <si>
    <t>Initials</t>
  </si>
  <si>
    <t>Date tested</t>
  </si>
  <si>
    <t>Pass/Fail</t>
  </si>
  <si>
    <t>Complete</t>
  </si>
  <si>
    <t>In progress</t>
  </si>
  <si>
    <t>Number of scenarios:</t>
  </si>
  <si>
    <t>Progress percentage:</t>
  </si>
  <si>
    <t>1. Paste test scenarios into the Scenario column</t>
  </si>
  <si>
    <t>2. Select and drag the number and tab names so each scenario has both</t>
  </si>
  <si>
    <t>3. Press amend templates button and enter information as needed</t>
  </si>
  <si>
    <t>4. Press generate sheets button</t>
  </si>
  <si>
    <t>5. Save!</t>
  </si>
  <si>
    <t>Scenario examples</t>
  </si>
  <si>
    <t xml:space="preserve">Patient with normal results </t>
  </si>
  <si>
    <t>Patient with high results</t>
  </si>
  <si>
    <t>Patient with low results</t>
  </si>
  <si>
    <t>Progress (Fasting Glucose)</t>
  </si>
  <si>
    <t>Lorenz</t>
  </si>
  <si>
    <t>LKB</t>
  </si>
  <si>
    <t>Expected Outcome</t>
  </si>
  <si>
    <t>Autocomment</t>
  </si>
  <si>
    <t>PtFlags</t>
  </si>
  <si>
    <t>Queue</t>
  </si>
  <si>
    <t>Sex</t>
  </si>
  <si>
    <t>ClinDetails</t>
  </si>
  <si>
    <t>PtOverride</t>
  </si>
  <si>
    <t>Timestamp</t>
  </si>
  <si>
    <t>Patient ID</t>
  </si>
  <si>
    <t>Phase</t>
  </si>
  <si>
    <t>Sample Origin</t>
  </si>
  <si>
    <t>Clinical Details</t>
  </si>
  <si>
    <t>Sample ID</t>
  </si>
  <si>
    <t>Sample Collected</t>
  </si>
  <si>
    <t>Target Result</t>
  </si>
  <si>
    <t>Auth Queue</t>
  </si>
  <si>
    <t>Scenario ID</t>
  </si>
  <si>
    <t>F</t>
  </si>
  <si>
    <t>GP</t>
  </si>
  <si>
    <t>Validation Behaviour</t>
  </si>
  <si>
    <t>Test Name</t>
  </si>
  <si>
    <t>Patient Name</t>
  </si>
  <si>
    <t>ClinNotes</t>
  </si>
  <si>
    <t>Patient Flags</t>
  </si>
  <si>
    <t>Additional Notes</t>
  </si>
  <si>
    <t>CMRI</t>
  </si>
  <si>
    <t>Complex MRI</t>
  </si>
  <si>
    <t>DM</t>
  </si>
  <si>
    <t>F 21Y old with A1C 108, prev A1C 108 (27 days)</t>
  </si>
  <si>
    <t>Auto-Reject (prev numeric and &lt;= 108, &lt;= 27d ago with flag DM)</t>
  </si>
  <si>
    <t>CMRI-001_001</t>
  </si>
  <si>
    <t>CMRI-001</t>
  </si>
  <si>
    <t>UKASBIO-LKB, CMRI-001</t>
  </si>
  <si>
    <t>None</t>
  </si>
  <si>
    <t>22B00013063</t>
  </si>
  <si>
    <t>[A1C] A1C=108.0;</t>
  </si>
  <si>
    <t>Stoke - PASS queue - NON-URGENT BIOCHEMISTRY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</si>
</sst>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0"/>
      <color theme="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5">
    <xf numFmtId="0" fontId="0" fillId="0" borderId="0" xfId="0"/>
    <xf numFmtId="0" fontId="2" fillId="0" borderId="0" xfId="0" applyFont="1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0" fontId="0" fillId="0" borderId="1" xfId="0" applyBorder="1"/>
    <xf numFmtId="0" fontId="1" fillId="0" borderId="1" xfId="0" applyFont="1" applyBorder="1"/>
    <xf numFmtId="0" fontId="5" fillId="0" borderId="1" xfId="0" applyFont="1" applyBorder="1"/>
    <xf numFmtId="0" fontId="5" fillId="0" borderId="1" xfId="0" applyFont="1" applyBorder="1" applyAlignment="1">
      <alignment wrapText="1"/>
    </xf>
    <xf numFmtId="14" fontId="0" fillId="0" borderId="1" xfId="0" applyNumberFormat="1" applyBorder="1"/>
    <xf numFmtId="0" fontId="2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6" fillId="2" borderId="0" xfId="0" applyFont="1" applyFill="1"/>
    <xf numFmtId="1" fontId="1" fillId="2" borderId="0" xfId="0" applyNumberFormat="1" applyFont="1" applyFill="1"/>
    <xf numFmtId="0" fontId="0" fillId="3" borderId="1" xfId="0" applyFill="1" applyBorder="1"/>
    <xf numFmtId="0" fontId="0" fillId="3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8" fillId="0" borderId="0" xfId="0" applyFont="1"/>
    <xf numFmtId="0" fontId="0" fillId="0" borderId="1" xfId="0" applyFill="1" applyBorder="1"/>
    <xf numFmtId="0" fontId="3" fillId="0" borderId="1" xfId="1" quotePrefix="1" applyBorder="1"/>
    <xf numFmtId="0" fontId="9" fillId="0" borderId="5" xfId="0" applyFont="1" applyBorder="1" applyAlignment="1"/>
    <xf numFmtId="0" fontId="9" fillId="0" borderId="6" xfId="0" applyFont="1" applyBorder="1" applyAlignment="1"/>
    <xf numFmtId="0" fontId="2" fillId="0" borderId="7" xfId="0" applyFont="1" applyBorder="1" applyAlignment="1">
      <alignment horizontal="left"/>
    </xf>
    <xf numFmtId="0" fontId="1" fillId="0" borderId="8" xfId="0" applyFont="1" applyBorder="1"/>
    <xf numFmtId="49" fontId="1" fillId="0" borderId="9" xfId="0" applyNumberFormat="1" applyFont="1" applyBorder="1"/>
    <xf numFmtId="0" fontId="1" fillId="0" borderId="9" xfId="0" applyFont="1" applyBorder="1"/>
    <xf numFmtId="0" fontId="1" fillId="0" borderId="10" xfId="0" applyFont="1" applyBorder="1"/>
    <xf numFmtId="22" fontId="0" fillId="0" borderId="0" xfId="0" applyNumberFormat="1"/>
    <xf numFmtId="14" fontId="0" fillId="0" borderId="0" xfId="0" applyNumberFormat="1"/>
    <xf numFmtId="0" fontId="1" fillId="0" borderId="14" xfId="0" applyFont="1" applyBorder="1"/>
    <xf numFmtId="0" fontId="1" fillId="0" borderId="15" xfId="0" applyFont="1" applyBorder="1"/>
    <xf numFmtId="0" fontId="0" fillId="3" borderId="14" xfId="0" applyFill="1" applyBorder="1" applyAlignment="1">
      <alignment horizontal="center" vertical="top"/>
    </xf>
    <xf numFmtId="0" fontId="0" fillId="3" borderId="15" xfId="0" applyFill="1" applyBorder="1"/>
    <xf numFmtId="0" fontId="5" fillId="0" borderId="15" xfId="0" applyFont="1" applyBorder="1"/>
    <xf numFmtId="0" fontId="0" fillId="3" borderId="16" xfId="0" applyFill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0" fontId="0" fillId="0" borderId="18" xfId="0" applyBorder="1"/>
    <xf numFmtId="0" fontId="0" fillId="0" borderId="19" xfId="0" applyBorder="1"/>
    <xf numFmtId="0" fontId="1" fillId="0" borderId="20" xfId="0" applyFont="1" applyBorder="1"/>
    <xf numFmtId="0" fontId="0" fillId="0" borderId="21" xfId="0" applyBorder="1"/>
    <xf numFmtId="14" fontId="0" fillId="0" borderId="15" xfId="0" applyNumberFormat="1" applyBorder="1"/>
    <xf numFmtId="0" fontId="0" fillId="0" borderId="15" xfId="0" applyBorder="1"/>
    <xf numFmtId="0" fontId="1" fillId="0" borderId="22" xfId="0" applyFont="1" applyBorder="1"/>
    <xf numFmtId="0" fontId="0" fillId="0" borderId="23" xfId="0" applyBorder="1"/>
    <xf numFmtId="0" fontId="0" fillId="0" borderId="22" xfId="0" applyBorder="1"/>
    <xf numFmtId="0" fontId="0" fillId="0" borderId="24" xfId="0" applyBorder="1"/>
    <xf numFmtId="0" fontId="0" fillId="0" borderId="25" xfId="0" applyBorder="1"/>
    <xf numFmtId="0" fontId="0" fillId="0" borderId="14" xfId="0" applyBorder="1"/>
    <xf numFmtId="0" fontId="0" fillId="0" borderId="0" xfId="0" applyFill="1"/>
    <xf numFmtId="0" fontId="0" fillId="0" borderId="0" xfId="0" quotePrefix="1"/>
    <xf numFmtId="0" fontId="10" fillId="0" borderId="1" xfId="0" applyFont="1" applyBorder="1"/>
    <xf numFmtId="164" fontId="10" fillId="0" borderId="1" xfId="0" applyNumberFormat="1" applyFont="1" applyBorder="1"/>
    <xf numFmtId="0" fontId="3" fillId="0" borderId="1" xfId="1" quotePrefix="1" applyNumberFormat="1" applyBorder="1"/>
    <xf numFmtId="0" fontId="5" fillId="0" borderId="1" xfId="0" applyFont="1" applyBorder="1" applyAlignment="1">
      <alignment vertical="center"/>
    </xf>
    <xf numFmtId="164" fontId="10" fillId="0" borderId="1" xfId="0" applyNumberFormat="1" applyFont="1" applyFill="1" applyBorder="1"/>
    <xf numFmtId="0" fontId="10" fillId="0" borderId="1" xfId="0" applyFont="1" applyFill="1" applyBorder="1"/>
    <xf numFmtId="0" fontId="10" fillId="0" borderId="1" xfId="0" applyNumberFormat="1" applyFont="1" applyBorder="1"/>
    <xf numFmtId="0" fontId="0" fillId="0" borderId="26" xfId="0" applyNumberFormat="1" applyBorder="1"/>
    <xf numFmtId="0" fontId="3" fillId="0" borderId="26" xfId="1" quotePrefix="1" applyNumberFormat="1" applyBorder="1"/>
    <xf numFmtId="0" fontId="5" fillId="0" borderId="26" xfId="0" applyFont="1" applyBorder="1" applyAlignment="1">
      <alignment vertical="center"/>
    </xf>
    <xf numFmtId="164" fontId="10" fillId="0" borderId="26" xfId="0" applyNumberFormat="1" applyFont="1" applyFill="1" applyBorder="1"/>
    <xf numFmtId="0" fontId="0" fillId="0" borderId="26" xfId="0" applyFill="1" applyBorder="1"/>
    <xf numFmtId="0" fontId="10" fillId="0" borderId="26" xfId="0" applyFont="1" applyFill="1" applyBorder="1"/>
    <xf numFmtId="0" fontId="10" fillId="0" borderId="26" xfId="0" applyFont="1" applyBorder="1"/>
    <xf numFmtId="0" fontId="0" fillId="0" borderId="26" xfId="0" applyBorder="1"/>
    <xf numFmtId="0" fontId="10" fillId="0" borderId="26" xfId="0" applyNumberFormat="1" applyFont="1" applyBorder="1"/>
    <xf numFmtId="0" fontId="5" fillId="0" borderId="26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164" fontId="13" fillId="0" borderId="1" xfId="0" applyNumberFormat="1" applyFont="1" applyFill="1" applyBorder="1"/>
    <xf numFmtId="0" fontId="13" fillId="0" borderId="1" xfId="0" applyFont="1" applyBorder="1"/>
    <xf numFmtId="0" fontId="13" fillId="0" borderId="1" xfId="0" applyNumberFormat="1" applyFont="1" applyBorder="1"/>
    <xf numFmtId="0" fontId="12" fillId="0" borderId="26" xfId="0" applyFont="1" applyBorder="1" applyAlignment="1">
      <alignment vertical="center"/>
    </xf>
    <xf numFmtId="164" fontId="13" fillId="0" borderId="26" xfId="0" applyNumberFormat="1" applyFont="1" applyFill="1" applyBorder="1"/>
    <xf numFmtId="0" fontId="13" fillId="0" borderId="26" xfId="0" applyFont="1" applyBorder="1"/>
    <xf numFmtId="0" fontId="13" fillId="0" borderId="26" xfId="0" applyNumberFormat="1" applyFont="1" applyBorder="1"/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20">
    <dxf>
      <font>
        <sz val="10"/>
        <name val="Consolas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name val="Consola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name val="Consolas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name val="Consolas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z val="10"/>
        <name val="Consolas"/>
        <scheme val="none"/>
      </font>
      <numFmt numFmtId="164" formatCode="0.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10"/>
          <c:dPt>
            <c:idx val="0"/>
            <c:bubble3D val="0"/>
            <c:spPr>
              <a:solidFill>
                <a:schemeClr val="accent2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F26-4170-B037-E8363D97DBA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F26-4170-B037-E8363D97DBA7}"/>
              </c:ext>
            </c:extLst>
          </c:dPt>
          <c:cat>
            <c:strRef>
              <c:f>Scenarios!$Q$6:$Q$8</c:f>
              <c:strCache>
                <c:ptCount val="3"/>
                <c:pt idx="0">
                  <c:v>Incomplete</c:v>
                </c:pt>
                <c:pt idx="1">
                  <c:v>In progress</c:v>
                </c:pt>
                <c:pt idx="2">
                  <c:v>Complete</c:v>
                </c:pt>
              </c:strCache>
            </c:strRef>
          </c:cat>
          <c:val>
            <c:numRef>
              <c:f>Scenarios!$R$6:$R$8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F26-4170-B037-E8363D97D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2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11</xdr:row>
      <xdr:rowOff>0</xdr:rowOff>
    </xdr:from>
    <xdr:to>
      <xdr:col>23</xdr:col>
      <xdr:colOff>0</xdr:colOff>
      <xdr:row>28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Amend templates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66675</xdr:rowOff>
        </xdr:from>
        <xdr:to>
          <xdr:col>17</xdr:col>
          <xdr:colOff>0</xdr:colOff>
          <xdr:row>3</xdr:row>
          <xdr:rowOff>95250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(Re)Generate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1</xdr:row>
          <xdr:rowOff>0</xdr:rowOff>
        </xdr:from>
        <xdr:to>
          <xdr:col>17</xdr:col>
          <xdr:colOff>971550</xdr:colOff>
          <xdr:row>2</xdr:row>
          <xdr:rowOff>28575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Imgs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66675</xdr:rowOff>
        </xdr:from>
        <xdr:to>
          <xdr:col>17</xdr:col>
          <xdr:colOff>971550</xdr:colOff>
          <xdr:row>3</xdr:row>
          <xdr:rowOff>95250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Imgs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e3" displayName="Table3" ref="A1:N2" totalsRowShown="0">
  <autoFilter ref="A1:N2"/>
  <sortState ref="A2:N119">
    <sortCondition ref="N1:N119"/>
  </sortState>
  <tableColumns count="14">
    <tableColumn id="1" name="Timestamp" dataDxfId="19"/>
    <tableColumn id="2" name="Patient ID"/>
    <tableColumn id="3" name="Phase"/>
    <tableColumn id="4" name="Patient Name"/>
    <tableColumn id="5" name="Sex"/>
    <tableColumn id="6" name="Sample Origin"/>
    <tableColumn id="7" name="Patient Flags"/>
    <tableColumn id="8" name="Clinical Details"/>
    <tableColumn id="14" name="Additional Notes"/>
    <tableColumn id="9" name="Sample ID"/>
    <tableColumn id="10" name="Sample Collected" dataDxfId="18"/>
    <tableColumn id="11" name="Target Result"/>
    <tableColumn id="12" name="Auth Queue"/>
    <tableColumn id="13" name="Scenario 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28" displayName="Table28" ref="A3:O4" totalsRowShown="0" headerRowDxfId="17" headerRowBorderDxfId="16" tableBorderDxfId="15">
  <autoFilter ref="A3:O4"/>
  <sortState ref="A4:O62">
    <sortCondition ref="F4:F62"/>
    <sortCondition ref="A4:A62"/>
  </sortState>
  <tableColumns count="15">
    <tableColumn id="1" name="Number" dataDxfId="14"/>
    <tableColumn id="2" name="Tab" dataDxfId="13" dataCellStyle="Hyperlink">
      <calculatedColumnFormula>HYPERLINK(CONCATENATE("[Retesting.xlsm]'RETEST_",TEXT(A4, "0"),"'!A1"), "[Link]")</calculatedColumnFormula>
    </tableColumn>
    <tableColumn id="3" name="Scenario" dataDxfId="12"/>
    <tableColumn id="4" name="PtFlags" dataDxfId="11"/>
    <tableColumn id="5" name="ClinDetails" dataDxfId="10"/>
    <tableColumn id="6" name="PtOverride" dataDxfId="9"/>
    <tableColumn id="15" name="ClinNotes" dataDxfId="8"/>
    <tableColumn id="7" name="Priority" dataDxfId="7"/>
    <tableColumn id="8" name="Initials" dataDxfId="6"/>
    <tableColumn id="9" name="Date tested" dataDxfId="5"/>
    <tableColumn id="10" name="Pass/Fail" dataDxfId="4"/>
    <tableColumn id="11" name="Complete" dataDxfId="3"/>
    <tableColumn id="12" name="Queue" dataDxfId="2"/>
    <tableColumn id="13" name="Autocomment" dataDxfId="1"/>
    <tableColumn id="14" name="Validation Behaviour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3:A18"/>
  <sheetViews>
    <sheetView workbookViewId="0"/>
  </sheetViews>
  <sheetFormatPr defaultRowHeight="15" x14ac:dyDescent="0.25"/>
  <sheetData>
    <row r="3" spans="1:1" x14ac:dyDescent="0.25">
      <c r="A3" t="s">
        <v>0</v>
      </c>
    </row>
    <row r="4" spans="1:1" x14ac:dyDescent="0.25">
      <c r="A4" t="s">
        <v>1</v>
      </c>
    </row>
    <row r="7" spans="1:1" x14ac:dyDescent="0.25">
      <c r="A7" t="s">
        <v>2</v>
      </c>
    </row>
    <row r="8" spans="1:1" x14ac:dyDescent="0.25">
      <c r="A8" t="s">
        <v>3</v>
      </c>
    </row>
    <row r="9" spans="1:1" x14ac:dyDescent="0.25">
      <c r="A9" t="s">
        <v>4</v>
      </c>
    </row>
    <row r="12" spans="1:1" x14ac:dyDescent="0.25">
      <c r="A12" t="s">
        <v>5</v>
      </c>
    </row>
    <row r="13" spans="1:1" x14ac:dyDescent="0.25">
      <c r="A13" t="s">
        <v>6</v>
      </c>
    </row>
    <row r="16" spans="1:1" x14ac:dyDescent="0.25">
      <c r="A16" t="s">
        <v>5</v>
      </c>
    </row>
    <row r="17" spans="1:1" x14ac:dyDescent="0.25">
      <c r="A17" t="s">
        <v>7</v>
      </c>
    </row>
    <row r="18" spans="1:1" x14ac:dyDescent="0.25">
      <c r="A18" t="s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2"/>
  <sheetViews>
    <sheetView workbookViewId="0">
      <selection activeCell="L7" sqref="L7"/>
    </sheetView>
  </sheetViews>
  <sheetFormatPr defaultRowHeight="15" x14ac:dyDescent="0.25"/>
  <cols>
    <col min="1" max="1" width="15.85546875" bestFit="1" customWidth="1"/>
    <col min="2" max="2" width="12" bestFit="1" customWidth="1"/>
    <col min="3" max="3" width="8.5703125" bestFit="1" customWidth="1"/>
    <col min="4" max="4" width="23.28515625" bestFit="1" customWidth="1"/>
    <col min="5" max="5" width="6.42578125" bestFit="1" customWidth="1"/>
    <col min="6" max="6" width="15.85546875" bestFit="1" customWidth="1"/>
    <col min="7" max="7" width="14.7109375" bestFit="1" customWidth="1"/>
    <col min="8" max="8" width="16.42578125" bestFit="1" customWidth="1"/>
    <col min="9" max="9" width="16.42578125" customWidth="1"/>
    <col min="10" max="10" width="12.140625" bestFit="1" customWidth="1"/>
    <col min="11" max="11" width="18.85546875" bestFit="1" customWidth="1"/>
    <col min="12" max="12" width="34" bestFit="1" customWidth="1"/>
    <col min="13" max="13" width="49.28515625" bestFit="1" customWidth="1"/>
    <col min="14" max="14" width="14.28515625" bestFit="1" customWidth="1"/>
  </cols>
  <sheetData>
    <row r="1" spans="1:14" x14ac:dyDescent="0.25">
      <c r="A1" t="s">
        <v>71</v>
      </c>
      <c r="B1" t="s">
        <v>72</v>
      </c>
      <c r="C1" t="s">
        <v>73</v>
      </c>
      <c r="D1" t="s">
        <v>85</v>
      </c>
      <c r="E1" t="s">
        <v>68</v>
      </c>
      <c r="F1" t="s">
        <v>74</v>
      </c>
      <c r="G1" t="s">
        <v>87</v>
      </c>
      <c r="H1" t="s">
        <v>75</v>
      </c>
      <c r="I1" t="s">
        <v>88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</row>
    <row r="2" spans="1:14" x14ac:dyDescent="0.25">
      <c r="A2" s="30">
        <v>44893.629930555559</v>
      </c>
      <c r="B2" t="s">
        <v>95</v>
      </c>
      <c r="C2">
        <v>1</v>
      </c>
      <c r="D2" t="s">
        <v>96</v>
      </c>
      <c r="E2" t="s">
        <v>81</v>
      </c>
      <c r="F2" t="s">
        <v>82</v>
      </c>
      <c r="G2" t="s">
        <v>91</v>
      </c>
      <c r="I2" t="s">
        <v>97</v>
      </c>
      <c r="J2" t="s">
        <v>98</v>
      </c>
      <c r="K2" s="31">
        <v>44866</v>
      </c>
      <c r="L2" t="s">
        <v>99</v>
      </c>
      <c r="M2" t="s">
        <v>100</v>
      </c>
      <c r="N2" t="s">
        <v>94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19"/>
  <sheetViews>
    <sheetView zoomScale="70" zoomScaleNormal="70" workbookViewId="0">
      <selection activeCell="H15" sqref="H15"/>
    </sheetView>
  </sheetViews>
  <sheetFormatPr defaultRowHeight="15" x14ac:dyDescent="0.25"/>
  <cols>
    <col min="1" max="1" width="27.140625" bestFit="1" customWidth="1"/>
    <col min="2" max="2" width="42.85546875" customWidth="1"/>
    <col min="3" max="3" width="4.28515625" customWidth="1"/>
    <col min="4" max="4" width="7.140625" bestFit="1" customWidth="1"/>
    <col min="5" max="5" width="27.7109375" customWidth="1"/>
    <col min="6" max="6" width="56.5703125" customWidth="1"/>
    <col min="7" max="7" width="9.140625" bestFit="1" customWidth="1"/>
    <col min="8" max="8" width="50" customWidth="1"/>
    <col min="9" max="9" width="11" bestFit="1" customWidth="1"/>
    <col min="10" max="10" width="23.42578125" bestFit="1" customWidth="1"/>
  </cols>
  <sheetData>
    <row r="2" spans="1:10" ht="28.5" x14ac:dyDescent="0.45">
      <c r="A2" s="1" t="s">
        <v>84</v>
      </c>
      <c r="B2" s="1"/>
      <c r="C2" s="1"/>
      <c r="D2" s="1"/>
      <c r="E2" s="10"/>
      <c r="F2" s="20" t="s">
        <v>8</v>
      </c>
      <c r="G2" s="20">
        <v>1</v>
      </c>
    </row>
    <row r="3" spans="1:10" ht="15.75" thickBot="1" x14ac:dyDescent="0.3"/>
    <row r="4" spans="1:10" ht="21" x14ac:dyDescent="0.35">
      <c r="A4" s="41" t="s">
        <v>9</v>
      </c>
      <c r="B4" s="42" t="s">
        <v>62</v>
      </c>
      <c r="D4" s="78" t="s">
        <v>16</v>
      </c>
      <c r="E4" s="79"/>
      <c r="F4" s="79"/>
      <c r="G4" s="79"/>
      <c r="H4" s="79"/>
      <c r="I4" s="79"/>
      <c r="J4" s="80"/>
    </row>
    <row r="5" spans="1:10" x14ac:dyDescent="0.25">
      <c r="A5" s="32" t="s">
        <v>10</v>
      </c>
      <c r="B5" s="43">
        <f ca="1">TODAY()</f>
        <v>44903</v>
      </c>
      <c r="D5" s="32" t="s">
        <v>17</v>
      </c>
      <c r="E5" s="6" t="s">
        <v>18</v>
      </c>
      <c r="F5" s="6" t="s">
        <v>19</v>
      </c>
      <c r="G5" s="6" t="s">
        <v>20</v>
      </c>
      <c r="H5" s="6" t="s">
        <v>21</v>
      </c>
      <c r="I5" s="6" t="s">
        <v>22</v>
      </c>
      <c r="J5" s="33" t="s">
        <v>23</v>
      </c>
    </row>
    <row r="6" spans="1:10" ht="30" x14ac:dyDescent="0.25">
      <c r="A6" s="32" t="s">
        <v>11</v>
      </c>
      <c r="B6" s="43" t="s">
        <v>63</v>
      </c>
      <c r="C6" s="2"/>
      <c r="D6" s="34">
        <v>1</v>
      </c>
      <c r="E6" s="16" t="s">
        <v>24</v>
      </c>
      <c r="F6" s="15" t="s">
        <v>25</v>
      </c>
      <c r="G6" s="15" t="s">
        <v>0</v>
      </c>
      <c r="H6" s="15"/>
      <c r="I6" s="15"/>
      <c r="J6" s="35"/>
    </row>
    <row r="7" spans="1:10" ht="30" x14ac:dyDescent="0.25">
      <c r="A7" s="32" t="s">
        <v>12</v>
      </c>
      <c r="B7" s="44"/>
      <c r="D7" s="34">
        <v>2</v>
      </c>
      <c r="E7" s="16" t="s">
        <v>26</v>
      </c>
      <c r="F7" s="15"/>
      <c r="G7" s="15" t="s">
        <v>0</v>
      </c>
      <c r="H7" s="15"/>
      <c r="I7" s="15"/>
      <c r="J7" s="35"/>
    </row>
    <row r="8" spans="1:10" x14ac:dyDescent="0.25">
      <c r="A8" s="45"/>
      <c r="B8" s="46"/>
      <c r="D8" s="34">
        <v>3</v>
      </c>
      <c r="E8" s="16" t="s">
        <v>27</v>
      </c>
      <c r="F8" s="15"/>
      <c r="G8" s="15" t="s">
        <v>0</v>
      </c>
      <c r="H8" s="15"/>
      <c r="I8" s="15"/>
      <c r="J8" s="35"/>
    </row>
    <row r="9" spans="1:10" x14ac:dyDescent="0.25">
      <c r="A9" s="32" t="s">
        <v>13</v>
      </c>
      <c r="B9" s="44"/>
      <c r="D9" s="34">
        <v>4</v>
      </c>
      <c r="E9" s="17" t="s">
        <v>28</v>
      </c>
      <c r="F9" s="15"/>
      <c r="G9" s="15"/>
      <c r="H9" s="15"/>
      <c r="I9" s="15"/>
      <c r="J9" s="35"/>
    </row>
    <row r="10" spans="1:10" x14ac:dyDescent="0.25">
      <c r="A10" s="32"/>
      <c r="B10" s="44"/>
      <c r="D10" s="34">
        <v>5</v>
      </c>
      <c r="E10" s="16" t="s">
        <v>29</v>
      </c>
      <c r="F10" s="15" t="s">
        <v>30</v>
      </c>
      <c r="G10" s="15" t="s">
        <v>0</v>
      </c>
      <c r="H10" s="15"/>
      <c r="I10" s="15"/>
      <c r="J10" s="35"/>
    </row>
    <row r="11" spans="1:10" x14ac:dyDescent="0.25">
      <c r="A11" s="32"/>
      <c r="B11" s="44"/>
      <c r="D11" s="34">
        <v>6</v>
      </c>
      <c r="E11" s="18" t="s">
        <v>31</v>
      </c>
      <c r="F11" s="7"/>
      <c r="G11" s="7" t="s">
        <v>0</v>
      </c>
      <c r="H11" s="7"/>
      <c r="I11" s="7"/>
      <c r="J11" s="36"/>
    </row>
    <row r="12" spans="1:10" x14ac:dyDescent="0.25">
      <c r="A12" s="50"/>
      <c r="B12" s="44"/>
      <c r="D12" s="34">
        <v>7</v>
      </c>
      <c r="E12" s="18" t="s">
        <v>32</v>
      </c>
      <c r="F12" s="7"/>
      <c r="G12" s="7" t="s">
        <v>0</v>
      </c>
      <c r="H12" s="7"/>
      <c r="I12" s="7"/>
      <c r="J12" s="36"/>
    </row>
    <row r="13" spans="1:10" ht="30" x14ac:dyDescent="0.25">
      <c r="A13" s="50"/>
      <c r="B13" s="44"/>
      <c r="D13" s="34">
        <v>8</v>
      </c>
      <c r="E13" s="18" t="s">
        <v>33</v>
      </c>
      <c r="F13" s="8"/>
      <c r="G13" s="7"/>
      <c r="H13" s="7"/>
      <c r="I13" s="7"/>
      <c r="J13" s="36"/>
    </row>
    <row r="14" spans="1:10" ht="30" x14ac:dyDescent="0.25">
      <c r="A14" s="47"/>
      <c r="B14" s="46"/>
      <c r="D14" s="34">
        <v>9</v>
      </c>
      <c r="E14" s="18" t="s">
        <v>34</v>
      </c>
      <c r="F14" s="8"/>
      <c r="G14" s="7" t="s">
        <v>0</v>
      </c>
      <c r="H14" s="7"/>
      <c r="I14" s="7"/>
      <c r="J14" s="36"/>
    </row>
    <row r="15" spans="1:10" ht="45" x14ac:dyDescent="0.25">
      <c r="A15" s="32" t="s">
        <v>14</v>
      </c>
      <c r="B15" s="44"/>
      <c r="D15" s="34">
        <v>10</v>
      </c>
      <c r="E15" s="18" t="s">
        <v>35</v>
      </c>
      <c r="F15" s="8"/>
      <c r="G15" s="7"/>
      <c r="H15" s="8"/>
      <c r="I15" s="7"/>
      <c r="J15" s="36"/>
    </row>
    <row r="16" spans="1:10" ht="30" x14ac:dyDescent="0.25">
      <c r="A16" s="32" t="s">
        <v>15</v>
      </c>
      <c r="B16" s="36"/>
      <c r="D16" s="34">
        <v>11</v>
      </c>
      <c r="E16" s="18" t="s">
        <v>36</v>
      </c>
      <c r="F16" s="8"/>
      <c r="G16" s="7"/>
      <c r="H16" s="7"/>
      <c r="I16" s="7"/>
      <c r="J16" s="36"/>
    </row>
    <row r="17" spans="1:10" x14ac:dyDescent="0.25">
      <c r="A17" s="32" t="s">
        <v>80</v>
      </c>
      <c r="B17" s="44"/>
      <c r="D17" s="34">
        <v>12</v>
      </c>
      <c r="E17" s="18" t="s">
        <v>37</v>
      </c>
      <c r="F17" s="8"/>
      <c r="G17" s="7"/>
      <c r="H17" s="7"/>
      <c r="I17" s="7"/>
      <c r="J17" s="36"/>
    </row>
    <row r="18" spans="1:10" x14ac:dyDescent="0.25">
      <c r="A18" s="45"/>
      <c r="B18" s="46"/>
      <c r="D18" s="34">
        <v>13</v>
      </c>
      <c r="E18" s="19" t="s">
        <v>38</v>
      </c>
      <c r="F18" s="8"/>
      <c r="G18" s="7"/>
      <c r="H18" s="7"/>
      <c r="I18" s="7"/>
      <c r="J18" s="36"/>
    </row>
    <row r="19" spans="1:10" ht="30.75" thickBot="1" x14ac:dyDescent="0.3">
      <c r="A19" s="48"/>
      <c r="B19" s="49"/>
      <c r="D19" s="37">
        <v>14</v>
      </c>
      <c r="E19" s="38" t="s">
        <v>39</v>
      </c>
      <c r="F19" s="39"/>
      <c r="G19" s="39"/>
      <c r="H19" s="39"/>
      <c r="I19" s="39"/>
      <c r="J19" s="40"/>
    </row>
  </sheetData>
  <mergeCells count="1">
    <mergeCell ref="D4:J4"/>
  </mergeCell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Extras!$A$16:$A$18</xm:f>
          </x14:formula1>
          <xm:sqref>E2</xm:sqref>
        </x14:dataValidation>
        <x14:dataValidation type="list" allowBlank="1" showInputMessage="1" showErrorMessage="1">
          <x14:formula1>
            <xm:f>Extras!$A$3:$A$4</xm:f>
          </x14:formula1>
          <xm:sqref>D36:D689 G6:G19</xm:sqref>
        </x14:dataValidation>
        <x14:dataValidation type="list" allowBlank="1" showInputMessage="1" showErrorMessage="1">
          <x14:formula1>
            <xm:f>Extras!$A$7:$A$9</xm:f>
          </x14:formula1>
          <xm:sqref>F36:F799 I6:I19</xm:sqref>
        </x14:dataValidation>
        <x14:dataValidation type="list" allowBlank="1" showInputMessage="1" showErrorMessage="1">
          <x14:formula1>
            <xm:f>Extras!$A$12:$A$13</xm:f>
          </x14:formula1>
          <xm:sqref>G36:G711 J6:J19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92D050"/>
  </sheetPr>
  <dimension ref="A1:S101"/>
  <sheetViews>
    <sheetView tabSelected="1" zoomScale="70" zoomScaleNormal="70" workbookViewId="0">
      <selection activeCell="Q62" sqref="Q62"/>
    </sheetView>
  </sheetViews>
  <sheetFormatPr defaultRowHeight="15" x14ac:dyDescent="0.25"/>
  <cols>
    <col min="1" max="1" width="12" customWidth="1"/>
    <col min="2" max="2" width="7.7109375" style="4" customWidth="1"/>
    <col min="3" max="3" width="61" bestFit="1" customWidth="1"/>
    <col min="4" max="4" width="12" customWidth="1"/>
    <col min="5" max="6" width="13.85546875" bestFit="1" customWidth="1"/>
    <col min="7" max="7" width="13.85546875" customWidth="1"/>
    <col min="8" max="8" width="11.42578125" customWidth="1"/>
    <col min="9" max="9" width="9.140625" bestFit="1" customWidth="1"/>
    <col min="10" max="10" width="16.5703125" customWidth="1"/>
    <col min="11" max="11" width="13.85546875" customWidth="1"/>
    <col min="12" max="12" width="12.42578125" bestFit="1" customWidth="1"/>
    <col min="13" max="13" width="21.42578125" bestFit="1" customWidth="1"/>
    <col min="14" max="14" width="31.140625" bestFit="1" customWidth="1"/>
    <col min="15" max="15" width="78.140625" bestFit="1" customWidth="1"/>
    <col min="16" max="16" width="2.85546875" customWidth="1"/>
    <col min="17" max="17" width="20.28515625" bestFit="1" customWidth="1"/>
    <col min="18" max="18" width="20.140625" bestFit="1" customWidth="1"/>
  </cols>
  <sheetData>
    <row r="1" spans="1:19" ht="22.5" customHeight="1" thickBot="1" x14ac:dyDescent="0.5">
      <c r="A1" s="23" t="s">
        <v>89</v>
      </c>
      <c r="B1" s="24"/>
      <c r="C1" s="25" t="s">
        <v>90</v>
      </c>
      <c r="H1" s="1"/>
      <c r="I1" s="1"/>
      <c r="J1" s="1"/>
      <c r="K1" s="1"/>
    </row>
    <row r="2" spans="1:19" x14ac:dyDescent="0.25">
      <c r="B2" s="3"/>
      <c r="C2" s="2"/>
      <c r="D2" s="2"/>
      <c r="E2" s="2"/>
      <c r="F2" s="2"/>
      <c r="G2" s="2"/>
      <c r="H2" s="81" t="s">
        <v>40</v>
      </c>
      <c r="I2" s="81"/>
      <c r="J2" s="81"/>
      <c r="K2" s="81"/>
      <c r="L2" s="81"/>
      <c r="M2" s="82" t="s">
        <v>64</v>
      </c>
      <c r="N2" s="83"/>
      <c r="O2" s="84"/>
    </row>
    <row r="3" spans="1:19" x14ac:dyDescent="0.25">
      <c r="A3" s="26" t="s">
        <v>42</v>
      </c>
      <c r="B3" s="27" t="s">
        <v>43</v>
      </c>
      <c r="C3" s="28" t="s">
        <v>14</v>
      </c>
      <c r="D3" s="28" t="s">
        <v>66</v>
      </c>
      <c r="E3" s="28" t="s">
        <v>69</v>
      </c>
      <c r="F3" s="28" t="s">
        <v>70</v>
      </c>
      <c r="G3" s="28" t="s">
        <v>86</v>
      </c>
      <c r="H3" s="28" t="s">
        <v>44</v>
      </c>
      <c r="I3" s="28" t="s">
        <v>45</v>
      </c>
      <c r="J3" s="28" t="s">
        <v>46</v>
      </c>
      <c r="K3" s="28" t="s">
        <v>47</v>
      </c>
      <c r="L3" s="28" t="s">
        <v>48</v>
      </c>
      <c r="M3" s="28" t="s">
        <v>67</v>
      </c>
      <c r="N3" s="28" t="s">
        <v>65</v>
      </c>
      <c r="O3" s="29" t="s">
        <v>83</v>
      </c>
    </row>
    <row r="4" spans="1:19" x14ac:dyDescent="0.25">
      <c r="A4" s="5">
        <v>1</v>
      </c>
      <c r="B4" s="22" t="str">
        <f>HYPERLINK(CONCATENATE("[Retesting.xlsm]'RETEST_",TEXT(A4, "0"),"'!A1"), "[Link]")</f>
        <v>[Link]</v>
      </c>
      <c r="C4" s="51" t="s">
        <v>92</v>
      </c>
      <c r="D4" s="54" t="s">
        <v>91</v>
      </c>
      <c r="E4" s="21"/>
      <c r="F4" s="53">
        <v>1</v>
      </c>
      <c r="G4" s="53"/>
      <c r="H4" s="5">
        <v>4</v>
      </c>
      <c r="I4" s="5" t="s">
        <v>63</v>
      </c>
      <c r="J4" s="9">
        <v>44893</v>
      </c>
      <c r="K4" s="5"/>
      <c r="L4" s="5"/>
      <c r="M4" s="53"/>
      <c r="N4" s="53"/>
      <c r="O4" s="53" t="s">
        <v>93</v>
      </c>
    </row>
    <row r="5" spans="1:19" x14ac:dyDescent="0.25">
      <c r="A5" s="60"/>
      <c r="B5" s="61"/>
      <c r="C5" s="51"/>
      <c r="D5" s="63"/>
      <c r="E5" s="21"/>
      <c r="F5" s="65"/>
      <c r="G5" s="66"/>
      <c r="H5" s="5"/>
      <c r="I5" s="5"/>
      <c r="J5" s="9"/>
      <c r="K5" s="67"/>
      <c r="L5" s="67"/>
      <c r="M5" s="68"/>
      <c r="N5" s="68"/>
      <c r="O5" s="66"/>
      <c r="Q5" s="2" t="s">
        <v>61</v>
      </c>
    </row>
    <row r="6" spans="1:19" x14ac:dyDescent="0.25">
      <c r="A6" s="60"/>
      <c r="B6" s="61"/>
      <c r="C6" s="69"/>
      <c r="D6" s="63"/>
      <c r="E6" s="64"/>
      <c r="F6" s="65"/>
      <c r="G6" s="66"/>
      <c r="H6" s="5"/>
      <c r="I6" s="5"/>
      <c r="J6" s="9"/>
      <c r="K6" s="67"/>
      <c r="L6" s="67"/>
      <c r="M6" s="68"/>
      <c r="N6" s="68"/>
      <c r="O6" s="66"/>
      <c r="Q6" s="12" t="s">
        <v>41</v>
      </c>
      <c r="R6">
        <f>COUNTIF(L4:L224, "NO")</f>
        <v>0</v>
      </c>
    </row>
    <row r="7" spans="1:19" x14ac:dyDescent="0.25">
      <c r="A7" s="5"/>
      <c r="B7" s="61"/>
      <c r="C7" s="62"/>
      <c r="D7" s="63"/>
      <c r="E7" s="64"/>
      <c r="F7" s="65"/>
      <c r="G7" s="66"/>
      <c r="H7" s="5"/>
      <c r="I7" s="5"/>
      <c r="J7" s="9"/>
      <c r="K7" s="67"/>
      <c r="L7" s="67"/>
      <c r="M7" s="68"/>
      <c r="N7" s="68"/>
      <c r="O7" s="66"/>
      <c r="Q7" s="12" t="s">
        <v>49</v>
      </c>
      <c r="R7">
        <f>COUNTIF(L4:L224, "in progress")</f>
        <v>0</v>
      </c>
    </row>
    <row r="8" spans="1:19" x14ac:dyDescent="0.25">
      <c r="A8" s="60"/>
      <c r="B8" s="61"/>
      <c r="C8" s="62"/>
      <c r="D8" s="63"/>
      <c r="E8" s="64"/>
      <c r="F8" s="65"/>
      <c r="G8" s="66"/>
      <c r="H8" s="5"/>
      <c r="I8" s="5"/>
      <c r="J8" s="9"/>
      <c r="K8" s="67"/>
      <c r="L8" s="67"/>
      <c r="M8" s="68"/>
      <c r="N8" s="68"/>
      <c r="O8" s="66"/>
      <c r="Q8" s="12" t="s">
        <v>48</v>
      </c>
      <c r="R8">
        <f>COUNTIF(L4:L224, "YES")</f>
        <v>0</v>
      </c>
    </row>
    <row r="9" spans="1:19" x14ac:dyDescent="0.25">
      <c r="A9" s="60"/>
      <c r="B9" s="61"/>
      <c r="C9" s="62"/>
      <c r="D9" s="63"/>
      <c r="E9" s="64"/>
      <c r="F9" s="65"/>
      <c r="G9" s="66"/>
      <c r="H9" s="5"/>
      <c r="I9" s="5"/>
      <c r="J9" s="9"/>
      <c r="K9" s="67"/>
      <c r="L9" s="67"/>
      <c r="M9" s="68"/>
      <c r="N9" s="68"/>
      <c r="O9" s="66"/>
      <c r="Q9" s="12" t="s">
        <v>50</v>
      </c>
      <c r="R9">
        <f>COUNTA(C4:C891)</f>
        <v>1</v>
      </c>
      <c r="S9">
        <f>R9</f>
        <v>1</v>
      </c>
    </row>
    <row r="10" spans="1:19" x14ac:dyDescent="0.25">
      <c r="A10" s="5"/>
      <c r="B10" s="55"/>
      <c r="C10" s="62"/>
      <c r="D10" s="57"/>
      <c r="E10" s="21"/>
      <c r="F10" s="58"/>
      <c r="G10" s="53"/>
      <c r="H10" s="5"/>
      <c r="I10" s="5"/>
      <c r="J10" s="9"/>
      <c r="K10" s="5"/>
      <c r="L10" s="5"/>
      <c r="M10" s="59"/>
      <c r="N10" s="59"/>
      <c r="O10" s="53"/>
      <c r="Q10" s="13" t="s">
        <v>51</v>
      </c>
      <c r="R10" s="14">
        <f>100* R8/R9</f>
        <v>0</v>
      </c>
    </row>
    <row r="11" spans="1:19" x14ac:dyDescent="0.25">
      <c r="A11" s="60"/>
      <c r="B11" s="55"/>
      <c r="C11" s="62"/>
      <c r="D11" s="57"/>
      <c r="E11" s="21"/>
      <c r="F11" s="58"/>
      <c r="G11" s="53"/>
      <c r="H11" s="5"/>
      <c r="I11" s="5"/>
      <c r="J11" s="9"/>
      <c r="K11" s="5"/>
      <c r="L11" s="5"/>
      <c r="M11" s="59"/>
      <c r="N11" s="59"/>
      <c r="O11" s="53"/>
      <c r="Q11" s="2"/>
    </row>
    <row r="12" spans="1:19" x14ac:dyDescent="0.25">
      <c r="A12" s="60"/>
      <c r="B12" s="61"/>
      <c r="C12" s="62"/>
      <c r="D12" s="63"/>
      <c r="E12" s="64"/>
      <c r="F12" s="65"/>
      <c r="G12" s="66"/>
      <c r="H12" s="5"/>
      <c r="I12" s="5"/>
      <c r="J12" s="9"/>
      <c r="K12" s="67"/>
      <c r="L12" s="67"/>
      <c r="M12" s="68"/>
      <c r="N12" s="68"/>
      <c r="O12" s="53"/>
    </row>
    <row r="13" spans="1:19" x14ac:dyDescent="0.25">
      <c r="A13" s="5"/>
      <c r="B13" s="55"/>
      <c r="C13" s="56"/>
      <c r="D13" s="57"/>
      <c r="E13" s="21"/>
      <c r="F13" s="58"/>
      <c r="G13" s="53"/>
      <c r="H13" s="5"/>
      <c r="I13" s="5"/>
      <c r="J13" s="9"/>
      <c r="K13" s="5"/>
      <c r="L13" s="5"/>
      <c r="M13" s="59"/>
      <c r="N13" s="59"/>
      <c r="O13" s="53"/>
    </row>
    <row r="14" spans="1:19" x14ac:dyDescent="0.25">
      <c r="A14" s="60"/>
      <c r="B14" s="55"/>
      <c r="C14" s="56"/>
      <c r="D14" s="57"/>
      <c r="E14" s="21"/>
      <c r="F14" s="58"/>
      <c r="G14" s="53"/>
      <c r="H14" s="5"/>
      <c r="I14" s="5"/>
      <c r="J14" s="9"/>
      <c r="K14" s="5"/>
      <c r="L14" s="5"/>
      <c r="M14" s="59"/>
      <c r="N14" s="59"/>
      <c r="O14" s="53"/>
    </row>
    <row r="15" spans="1:19" x14ac:dyDescent="0.25">
      <c r="A15" s="60"/>
      <c r="B15" s="61"/>
      <c r="C15" s="62"/>
      <c r="D15" s="63"/>
      <c r="E15" s="64"/>
      <c r="F15" s="58"/>
      <c r="G15" s="66"/>
      <c r="H15" s="5"/>
      <c r="I15" s="5"/>
      <c r="J15" s="9"/>
      <c r="K15" s="67"/>
      <c r="L15" s="67"/>
      <c r="M15" s="68"/>
      <c r="N15" s="68"/>
      <c r="O15" s="53"/>
      <c r="Q15" s="11"/>
    </row>
    <row r="16" spans="1:19" x14ac:dyDescent="0.25">
      <c r="A16" s="5"/>
      <c r="B16" s="55"/>
      <c r="C16" s="56"/>
      <c r="D16" s="57"/>
      <c r="E16" s="21"/>
      <c r="F16" s="58"/>
      <c r="G16" s="53"/>
      <c r="H16" s="5"/>
      <c r="I16" s="5"/>
      <c r="J16" s="9"/>
      <c r="K16" s="5"/>
      <c r="L16" s="5"/>
      <c r="M16" s="59"/>
      <c r="N16" s="59"/>
      <c r="O16" s="66"/>
    </row>
    <row r="17" spans="1:17" x14ac:dyDescent="0.25">
      <c r="A17" s="60"/>
      <c r="B17" s="55"/>
      <c r="C17" s="56"/>
      <c r="D17" s="57"/>
      <c r="E17" s="21"/>
      <c r="F17" s="58"/>
      <c r="G17" s="53"/>
      <c r="H17" s="5"/>
      <c r="I17" s="5"/>
      <c r="J17" s="9"/>
      <c r="K17" s="5"/>
      <c r="L17" s="5"/>
      <c r="M17" s="59"/>
      <c r="N17" s="59"/>
      <c r="O17" s="66"/>
    </row>
    <row r="18" spans="1:17" x14ac:dyDescent="0.25">
      <c r="A18" s="60"/>
      <c r="B18" s="61"/>
      <c r="C18" s="62"/>
      <c r="D18" s="63"/>
      <c r="E18" s="64"/>
      <c r="F18" s="58"/>
      <c r="G18" s="66"/>
      <c r="H18" s="5"/>
      <c r="I18" s="5"/>
      <c r="J18" s="9"/>
      <c r="K18" s="67"/>
      <c r="L18" s="67"/>
      <c r="M18" s="68"/>
      <c r="N18" s="68"/>
      <c r="O18" s="66"/>
    </row>
    <row r="19" spans="1:17" x14ac:dyDescent="0.25">
      <c r="A19" s="5"/>
      <c r="B19" s="55"/>
      <c r="C19" s="56"/>
      <c r="D19" s="57"/>
      <c r="E19" s="21"/>
      <c r="F19" s="58"/>
      <c r="G19" s="53"/>
      <c r="H19" s="5"/>
      <c r="I19" s="5"/>
      <c r="J19" s="9"/>
      <c r="K19" s="5"/>
      <c r="L19" s="5"/>
      <c r="M19" s="59"/>
      <c r="N19" s="59"/>
      <c r="O19" s="53"/>
    </row>
    <row r="20" spans="1:17" x14ac:dyDescent="0.25">
      <c r="A20" s="60"/>
      <c r="B20" s="55"/>
      <c r="C20" s="56"/>
      <c r="D20" s="57"/>
      <c r="E20" s="21"/>
      <c r="F20" s="58"/>
      <c r="G20" s="53"/>
      <c r="H20" s="5"/>
      <c r="I20" s="5"/>
      <c r="J20" s="9"/>
      <c r="K20" s="5"/>
      <c r="L20" s="5"/>
      <c r="M20" s="59"/>
      <c r="N20" s="59"/>
      <c r="O20" s="53"/>
    </row>
    <row r="21" spans="1:17" x14ac:dyDescent="0.25">
      <c r="A21" s="60"/>
      <c r="B21" s="55"/>
      <c r="C21" s="56"/>
      <c r="D21" s="57"/>
      <c r="E21" s="21"/>
      <c r="F21" s="58"/>
      <c r="G21" s="53"/>
      <c r="H21" s="5"/>
      <c r="I21" s="5"/>
      <c r="J21" s="9"/>
      <c r="K21" s="5"/>
      <c r="L21" s="5"/>
      <c r="M21" s="59"/>
      <c r="N21" s="59"/>
      <c r="O21" s="53"/>
    </row>
    <row r="22" spans="1:17" x14ac:dyDescent="0.25">
      <c r="A22" s="5"/>
      <c r="B22" s="55"/>
      <c r="C22" s="56"/>
      <c r="D22" s="57"/>
      <c r="E22" s="21"/>
      <c r="F22" s="58"/>
      <c r="G22" s="53"/>
      <c r="H22" s="5"/>
      <c r="I22" s="5"/>
      <c r="J22" s="9"/>
      <c r="K22" s="5"/>
      <c r="L22" s="5"/>
      <c r="M22" s="59"/>
      <c r="N22" s="59"/>
      <c r="O22" s="53"/>
    </row>
    <row r="23" spans="1:17" x14ac:dyDescent="0.25">
      <c r="A23" s="60"/>
      <c r="B23" s="55"/>
      <c r="C23" s="56"/>
      <c r="D23" s="57"/>
      <c r="E23" s="21"/>
      <c r="F23" s="58"/>
      <c r="G23" s="53"/>
      <c r="H23" s="5"/>
      <c r="I23" s="5"/>
      <c r="J23" s="9"/>
      <c r="K23" s="5"/>
      <c r="L23" s="5"/>
      <c r="M23" s="59"/>
      <c r="N23" s="59"/>
      <c r="O23" s="53"/>
    </row>
    <row r="24" spans="1:17" x14ac:dyDescent="0.25">
      <c r="A24" s="60"/>
      <c r="B24" s="61"/>
      <c r="C24" s="62"/>
      <c r="D24" s="63"/>
      <c r="E24" s="64"/>
      <c r="F24" s="58"/>
      <c r="G24" s="66"/>
      <c r="H24" s="5"/>
      <c r="I24" s="5"/>
      <c r="J24" s="9"/>
      <c r="K24" s="67"/>
      <c r="L24" s="67"/>
      <c r="M24" s="68"/>
      <c r="N24" s="68"/>
      <c r="O24" s="53"/>
    </row>
    <row r="25" spans="1:17" x14ac:dyDescent="0.25">
      <c r="A25" s="5"/>
      <c r="B25" s="55"/>
      <c r="C25" s="56"/>
      <c r="D25" s="57"/>
      <c r="E25" s="21"/>
      <c r="F25" s="58"/>
      <c r="G25" s="53"/>
      <c r="H25" s="5"/>
      <c r="I25" s="5"/>
      <c r="J25" s="9"/>
      <c r="K25" s="5"/>
      <c r="L25" s="5"/>
      <c r="M25" s="59"/>
      <c r="N25" s="59"/>
      <c r="O25" s="53"/>
    </row>
    <row r="26" spans="1:17" x14ac:dyDescent="0.25">
      <c r="A26" s="60"/>
      <c r="B26" s="55"/>
      <c r="C26" s="56"/>
      <c r="D26" s="57"/>
      <c r="E26" s="21"/>
      <c r="F26" s="58"/>
      <c r="G26" s="53"/>
      <c r="H26" s="5"/>
      <c r="I26" s="5"/>
      <c r="J26" s="9"/>
      <c r="K26" s="5"/>
      <c r="L26" s="5"/>
      <c r="M26" s="59"/>
      <c r="N26" s="59"/>
      <c r="O26" s="53"/>
    </row>
    <row r="27" spans="1:17" x14ac:dyDescent="0.25">
      <c r="A27" s="60"/>
      <c r="B27" s="55"/>
      <c r="C27" s="56"/>
      <c r="D27" s="57"/>
      <c r="E27" s="21"/>
      <c r="F27" s="58"/>
      <c r="G27" s="53"/>
      <c r="H27" s="5"/>
      <c r="I27" s="5"/>
      <c r="J27" s="9"/>
      <c r="K27" s="5"/>
      <c r="L27" s="5"/>
      <c r="M27" s="59"/>
      <c r="N27" s="59"/>
      <c r="O27" s="53"/>
    </row>
    <row r="28" spans="1:17" x14ac:dyDescent="0.25">
      <c r="A28" s="5"/>
      <c r="B28" s="55"/>
      <c r="C28" s="56"/>
      <c r="D28" s="57"/>
      <c r="E28" s="21"/>
      <c r="F28" s="58"/>
      <c r="G28" s="53"/>
      <c r="H28" s="5"/>
      <c r="I28" s="5"/>
      <c r="J28" s="9"/>
      <c r="K28" s="5"/>
      <c r="L28" s="5"/>
      <c r="M28" s="59"/>
      <c r="N28" s="59"/>
      <c r="O28" s="53"/>
    </row>
    <row r="29" spans="1:17" x14ac:dyDescent="0.25">
      <c r="A29" s="60"/>
      <c r="B29" s="55"/>
      <c r="C29" s="56"/>
      <c r="D29" s="57"/>
      <c r="E29" s="21"/>
      <c r="F29" s="58"/>
      <c r="G29" s="53"/>
      <c r="H29" s="5"/>
      <c r="I29" s="5"/>
      <c r="J29" s="9"/>
      <c r="K29" s="5"/>
      <c r="L29" s="5"/>
      <c r="M29" s="59"/>
      <c r="N29" s="59"/>
      <c r="O29" s="53"/>
    </row>
    <row r="30" spans="1:17" x14ac:dyDescent="0.25">
      <c r="A30" s="60"/>
      <c r="B30" s="55"/>
      <c r="C30" s="56"/>
      <c r="D30" s="57"/>
      <c r="E30" s="21"/>
      <c r="F30" s="58"/>
      <c r="G30" s="53"/>
      <c r="H30" s="5"/>
      <c r="I30" s="5"/>
      <c r="J30" s="9"/>
      <c r="K30" s="5"/>
      <c r="L30" s="5"/>
      <c r="M30" s="59"/>
      <c r="N30" s="59"/>
      <c r="O30" s="53"/>
      <c r="Q30" s="2" t="s">
        <v>18</v>
      </c>
    </row>
    <row r="31" spans="1:17" x14ac:dyDescent="0.25">
      <c r="A31" s="5"/>
      <c r="B31" s="61"/>
      <c r="C31" s="62"/>
      <c r="D31" s="63"/>
      <c r="E31" s="64"/>
      <c r="F31" s="58"/>
      <c r="G31" s="66"/>
      <c r="H31" s="5"/>
      <c r="I31" s="5"/>
      <c r="J31" s="9"/>
      <c r="K31" s="67"/>
      <c r="L31" s="67"/>
      <c r="M31" s="68"/>
      <c r="N31" s="68"/>
      <c r="O31" s="66"/>
      <c r="Q31" t="s">
        <v>52</v>
      </c>
    </row>
    <row r="32" spans="1:17" x14ac:dyDescent="0.25">
      <c r="A32" s="60"/>
      <c r="B32" s="61"/>
      <c r="C32" s="62"/>
      <c r="D32" s="63"/>
      <c r="E32" s="64"/>
      <c r="F32" s="58"/>
      <c r="G32" s="66"/>
      <c r="H32" s="5"/>
      <c r="I32" s="5"/>
      <c r="J32" s="9"/>
      <c r="K32" s="67"/>
      <c r="L32" s="67"/>
      <c r="M32" s="68"/>
      <c r="N32" s="68"/>
      <c r="O32" s="66"/>
      <c r="Q32" t="s">
        <v>53</v>
      </c>
    </row>
    <row r="33" spans="1:17" x14ac:dyDescent="0.25">
      <c r="A33" s="60"/>
      <c r="B33" s="55"/>
      <c r="C33" s="70"/>
      <c r="D33" s="71"/>
      <c r="E33" s="21"/>
      <c r="F33" s="58"/>
      <c r="G33" s="72"/>
      <c r="H33" s="5"/>
      <c r="I33" s="5"/>
      <c r="J33" s="9"/>
      <c r="K33" s="5"/>
      <c r="L33" s="5"/>
      <c r="M33" s="73"/>
      <c r="N33" s="73"/>
      <c r="O33" s="72"/>
      <c r="Q33" t="s">
        <v>54</v>
      </c>
    </row>
    <row r="34" spans="1:17" x14ac:dyDescent="0.25">
      <c r="A34" s="5"/>
      <c r="B34" s="61"/>
      <c r="C34" s="74"/>
      <c r="D34" s="75"/>
      <c r="E34" s="64"/>
      <c r="F34" s="58"/>
      <c r="G34" s="76"/>
      <c r="H34" s="5"/>
      <c r="I34" s="5"/>
      <c r="J34" s="9"/>
      <c r="K34" s="67"/>
      <c r="L34" s="67"/>
      <c r="M34" s="77"/>
      <c r="N34" s="77"/>
      <c r="O34" s="72"/>
      <c r="Q34" t="s">
        <v>55</v>
      </c>
    </row>
    <row r="35" spans="1:17" x14ac:dyDescent="0.25">
      <c r="A35" s="60"/>
      <c r="B35" s="55"/>
      <c r="C35" s="56"/>
      <c r="D35" s="57"/>
      <c r="E35" s="21"/>
      <c r="F35" s="58"/>
      <c r="G35" s="53"/>
      <c r="H35" s="5"/>
      <c r="I35" s="5"/>
      <c r="J35" s="9"/>
      <c r="K35" s="5"/>
      <c r="L35" s="5"/>
      <c r="M35" s="59"/>
      <c r="N35" s="59"/>
      <c r="O35" s="53"/>
      <c r="Q35" t="s">
        <v>56</v>
      </c>
    </row>
    <row r="36" spans="1:17" x14ac:dyDescent="0.25">
      <c r="A36" s="60"/>
      <c r="B36" s="55"/>
      <c r="C36" s="56"/>
      <c r="D36" s="57"/>
      <c r="E36" s="21"/>
      <c r="F36" s="58"/>
      <c r="G36" s="53"/>
      <c r="H36" s="5"/>
      <c r="I36" s="5"/>
      <c r="J36" s="9"/>
      <c r="K36" s="5"/>
      <c r="L36" s="5"/>
      <c r="M36" s="59"/>
      <c r="N36" s="59"/>
      <c r="O36" s="53"/>
    </row>
    <row r="37" spans="1:17" x14ac:dyDescent="0.25">
      <c r="A37" s="5"/>
      <c r="B37" s="55"/>
      <c r="C37" s="56"/>
      <c r="D37" s="57"/>
      <c r="E37" s="21"/>
      <c r="F37" s="58"/>
      <c r="G37" s="53"/>
      <c r="H37" s="5"/>
      <c r="I37" s="5"/>
      <c r="J37" s="9"/>
      <c r="K37" s="5"/>
      <c r="L37" s="5"/>
      <c r="M37" s="59"/>
      <c r="N37" s="59"/>
      <c r="O37" s="72"/>
      <c r="Q37" s="2" t="s">
        <v>57</v>
      </c>
    </row>
    <row r="38" spans="1:17" x14ac:dyDescent="0.25">
      <c r="A38" s="60"/>
      <c r="B38" s="61"/>
      <c r="C38" s="62"/>
      <c r="D38" s="63"/>
      <c r="E38" s="64"/>
      <c r="F38" s="58"/>
      <c r="G38" s="66"/>
      <c r="H38" s="5"/>
      <c r="I38" s="5"/>
      <c r="J38" s="9"/>
      <c r="K38" s="67"/>
      <c r="L38" s="67"/>
      <c r="M38" s="68"/>
      <c r="N38" s="68"/>
      <c r="O38" s="72"/>
      <c r="Q38" t="s">
        <v>58</v>
      </c>
    </row>
    <row r="39" spans="1:17" x14ac:dyDescent="0.25">
      <c r="A39" s="60"/>
      <c r="B39" s="55"/>
      <c r="C39" s="70"/>
      <c r="D39" s="71"/>
      <c r="E39" s="21"/>
      <c r="F39" s="58"/>
      <c r="G39" s="72"/>
      <c r="H39" s="5"/>
      <c r="I39" s="5"/>
      <c r="J39" s="9"/>
      <c r="K39" s="5"/>
      <c r="L39" s="5"/>
      <c r="M39" s="73"/>
      <c r="N39" s="73"/>
      <c r="O39" s="72"/>
      <c r="Q39" t="s">
        <v>59</v>
      </c>
    </row>
    <row r="40" spans="1:17" x14ac:dyDescent="0.25">
      <c r="A40" s="5"/>
      <c r="B40" s="55"/>
      <c r="C40" s="70"/>
      <c r="D40" s="71"/>
      <c r="E40" s="21"/>
      <c r="F40" s="58"/>
      <c r="G40" s="72"/>
      <c r="H40" s="5"/>
      <c r="I40" s="5"/>
      <c r="J40" s="9"/>
      <c r="K40" s="5"/>
      <c r="L40" s="5"/>
      <c r="M40" s="73"/>
      <c r="N40" s="73"/>
      <c r="O40" s="72"/>
      <c r="Q40" t="s">
        <v>60</v>
      </c>
    </row>
    <row r="41" spans="1:17" x14ac:dyDescent="0.25">
      <c r="A41" s="60"/>
      <c r="B41" s="55"/>
      <c r="C41" s="70"/>
      <c r="D41" s="71"/>
      <c r="E41" s="21"/>
      <c r="F41" s="58"/>
      <c r="G41" s="72"/>
      <c r="H41" s="5"/>
      <c r="I41" s="5"/>
      <c r="J41" s="9"/>
      <c r="K41" s="5"/>
      <c r="L41" s="5"/>
      <c r="M41" s="73"/>
      <c r="N41" s="73"/>
      <c r="O41" s="72"/>
    </row>
    <row r="42" spans="1:17" x14ac:dyDescent="0.25">
      <c r="A42" s="60"/>
      <c r="B42" s="61"/>
      <c r="C42" s="74"/>
      <c r="D42" s="75"/>
      <c r="E42" s="64"/>
      <c r="F42" s="58"/>
      <c r="G42" s="76"/>
      <c r="H42" s="5"/>
      <c r="I42" s="5"/>
      <c r="J42" s="9"/>
      <c r="K42" s="67"/>
      <c r="L42" s="67"/>
      <c r="M42" s="77"/>
      <c r="N42" s="77"/>
      <c r="O42" s="72"/>
    </row>
    <row r="43" spans="1:17" x14ac:dyDescent="0.25">
      <c r="A43" s="5"/>
      <c r="B43" s="55"/>
      <c r="C43" s="70"/>
      <c r="D43" s="71"/>
      <c r="E43" s="21"/>
      <c r="F43" s="58"/>
      <c r="G43" s="72"/>
      <c r="H43" s="5"/>
      <c r="I43" s="5"/>
      <c r="J43" s="9"/>
      <c r="K43" s="5"/>
      <c r="L43" s="5"/>
      <c r="M43" s="73"/>
      <c r="N43" s="73"/>
      <c r="O43" s="72"/>
    </row>
    <row r="44" spans="1:17" x14ac:dyDescent="0.25">
      <c r="A44" s="60"/>
      <c r="B44" s="55"/>
      <c r="C44" s="70"/>
      <c r="D44" s="71"/>
      <c r="E44" s="21"/>
      <c r="F44" s="58"/>
      <c r="G44" s="72"/>
      <c r="H44" s="5"/>
      <c r="I44" s="5"/>
      <c r="J44" s="9"/>
      <c r="K44" s="5"/>
      <c r="L44" s="5"/>
      <c r="M44" s="73"/>
      <c r="N44" s="73"/>
      <c r="O44" s="72"/>
    </row>
    <row r="45" spans="1:17" x14ac:dyDescent="0.25">
      <c r="A45" s="60"/>
      <c r="B45" s="55"/>
      <c r="C45" s="70"/>
      <c r="D45" s="71"/>
      <c r="E45" s="21"/>
      <c r="F45" s="58"/>
      <c r="G45" s="72"/>
      <c r="H45" s="5"/>
      <c r="I45" s="5"/>
      <c r="J45" s="9"/>
      <c r="K45" s="5"/>
      <c r="L45" s="5"/>
      <c r="M45" s="73"/>
      <c r="N45" s="73"/>
      <c r="O45" s="72"/>
    </row>
    <row r="46" spans="1:17" x14ac:dyDescent="0.25">
      <c r="A46" s="5"/>
      <c r="B46" s="61"/>
      <c r="C46" s="74"/>
      <c r="D46" s="75"/>
      <c r="E46" s="64"/>
      <c r="F46" s="58"/>
      <c r="G46" s="76"/>
      <c r="H46" s="5"/>
      <c r="I46" s="5"/>
      <c r="J46" s="9"/>
      <c r="K46" s="67"/>
      <c r="L46" s="67"/>
      <c r="M46" s="77"/>
      <c r="N46" s="77"/>
      <c r="O46" s="72"/>
    </row>
    <row r="47" spans="1:17" x14ac:dyDescent="0.25">
      <c r="A47" s="60"/>
      <c r="B47" s="55"/>
      <c r="C47" s="70"/>
      <c r="D47" s="71"/>
      <c r="E47" s="21"/>
      <c r="F47" s="58"/>
      <c r="G47" s="72"/>
      <c r="H47" s="5"/>
      <c r="I47" s="5"/>
      <c r="J47" s="9"/>
      <c r="K47" s="5"/>
      <c r="L47" s="5"/>
      <c r="M47" s="73"/>
      <c r="N47" s="73"/>
      <c r="O47" s="72"/>
    </row>
    <row r="48" spans="1:17" x14ac:dyDescent="0.25">
      <c r="A48" s="60"/>
      <c r="B48" s="55"/>
      <c r="C48" s="70"/>
      <c r="D48" s="71"/>
      <c r="E48" s="21"/>
      <c r="F48" s="58"/>
      <c r="G48" s="72"/>
      <c r="H48" s="5"/>
      <c r="I48" s="5"/>
      <c r="J48" s="9"/>
      <c r="K48" s="5"/>
      <c r="L48" s="5"/>
      <c r="M48" s="73"/>
      <c r="N48" s="73"/>
      <c r="O48" s="72"/>
    </row>
    <row r="49" spans="1:15" x14ac:dyDescent="0.25">
      <c r="A49" s="5"/>
      <c r="B49" s="55"/>
      <c r="C49" s="70"/>
      <c r="D49" s="71"/>
      <c r="E49" s="21"/>
      <c r="F49" s="58"/>
      <c r="G49" s="72"/>
      <c r="H49" s="5"/>
      <c r="I49" s="5"/>
      <c r="J49" s="9"/>
      <c r="K49" s="5"/>
      <c r="L49" s="5"/>
      <c r="M49" s="73"/>
      <c r="N49" s="73"/>
      <c r="O49" s="72"/>
    </row>
    <row r="50" spans="1:15" x14ac:dyDescent="0.25">
      <c r="A50" s="60"/>
      <c r="B50" s="55"/>
      <c r="C50" s="70"/>
      <c r="D50" s="71"/>
      <c r="E50" s="21"/>
      <c r="F50" s="58"/>
      <c r="G50" s="72"/>
      <c r="H50" s="5"/>
      <c r="I50" s="5"/>
      <c r="J50" s="9"/>
      <c r="K50" s="5"/>
      <c r="L50" s="5"/>
      <c r="M50" s="73"/>
      <c r="N50" s="73"/>
      <c r="O50" s="72"/>
    </row>
    <row r="51" spans="1:15" x14ac:dyDescent="0.25">
      <c r="A51" s="60"/>
      <c r="B51" s="55"/>
      <c r="C51" s="70"/>
      <c r="D51" s="71"/>
      <c r="E51" s="21"/>
      <c r="F51" s="58"/>
      <c r="G51" s="72"/>
      <c r="H51" s="5"/>
      <c r="I51" s="5"/>
      <c r="J51" s="9"/>
      <c r="K51" s="5"/>
      <c r="L51" s="5"/>
      <c r="M51" s="73"/>
      <c r="N51" s="73"/>
      <c r="O51" s="72"/>
    </row>
    <row r="52" spans="1:15" x14ac:dyDescent="0.25">
      <c r="A52" s="5"/>
      <c r="B52" s="61"/>
      <c r="C52" s="74"/>
      <c r="D52" s="75"/>
      <c r="E52" s="64"/>
      <c r="F52" s="58"/>
      <c r="G52" s="76"/>
      <c r="H52" s="5"/>
      <c r="I52" s="5"/>
      <c r="J52" s="9"/>
      <c r="K52" s="67"/>
      <c r="L52" s="67"/>
      <c r="M52" s="77"/>
      <c r="N52" s="77"/>
      <c r="O52" s="72"/>
    </row>
    <row r="53" spans="1:15" x14ac:dyDescent="0.25">
      <c r="A53" s="60"/>
      <c r="B53" s="61"/>
      <c r="C53" s="74"/>
      <c r="D53" s="75"/>
      <c r="E53" s="64"/>
      <c r="F53" s="58"/>
      <c r="G53" s="76"/>
      <c r="H53" s="5"/>
      <c r="I53" s="5"/>
      <c r="J53" s="9"/>
      <c r="K53" s="67"/>
      <c r="L53" s="67"/>
      <c r="M53" s="77"/>
      <c r="N53" s="77"/>
      <c r="O53" s="76"/>
    </row>
    <row r="54" spans="1:15" x14ac:dyDescent="0.25">
      <c r="A54" s="60"/>
      <c r="B54" s="61"/>
      <c r="C54" s="74"/>
      <c r="D54" s="75"/>
      <c r="E54" s="64"/>
      <c r="F54" s="58"/>
      <c r="G54" s="76"/>
      <c r="H54" s="5"/>
      <c r="I54" s="5"/>
      <c r="J54" s="9"/>
      <c r="K54" s="67"/>
      <c r="L54" s="67"/>
      <c r="M54" s="77"/>
      <c r="N54" s="77"/>
      <c r="O54" s="76"/>
    </row>
    <row r="55" spans="1:15" x14ac:dyDescent="0.25">
      <c r="A55" s="5"/>
      <c r="B55" s="55"/>
      <c r="C55" s="70"/>
      <c r="D55" s="71"/>
      <c r="E55" s="21"/>
      <c r="F55" s="58"/>
      <c r="G55" s="72"/>
      <c r="H55" s="5"/>
      <c r="I55" s="5"/>
      <c r="J55" s="9"/>
      <c r="K55" s="5"/>
      <c r="L55" s="5"/>
      <c r="M55" s="73"/>
      <c r="N55" s="73"/>
      <c r="O55" s="72"/>
    </row>
    <row r="56" spans="1:15" x14ac:dyDescent="0.25">
      <c r="A56" s="60"/>
      <c r="B56" s="55"/>
      <c r="C56" s="70"/>
      <c r="D56" s="71"/>
      <c r="E56" s="21"/>
      <c r="F56" s="58"/>
      <c r="G56" s="72"/>
      <c r="H56" s="5"/>
      <c r="I56" s="5"/>
      <c r="J56" s="9"/>
      <c r="K56" s="5"/>
      <c r="L56" s="5"/>
      <c r="M56" s="73"/>
      <c r="N56" s="73"/>
      <c r="O56" s="72"/>
    </row>
    <row r="57" spans="1:15" x14ac:dyDescent="0.25">
      <c r="A57" s="60"/>
      <c r="B57" s="55"/>
      <c r="C57" s="70"/>
      <c r="D57" s="71"/>
      <c r="E57" s="21"/>
      <c r="F57" s="58"/>
      <c r="G57" s="72"/>
      <c r="H57" s="5"/>
      <c r="I57" s="5"/>
      <c r="J57" s="9"/>
      <c r="K57" s="5"/>
      <c r="L57" s="5"/>
      <c r="M57" s="73"/>
      <c r="N57" s="73"/>
      <c r="O57" s="72"/>
    </row>
    <row r="58" spans="1:15" x14ac:dyDescent="0.25">
      <c r="A58" s="5"/>
      <c r="B58" s="61"/>
      <c r="C58" s="74"/>
      <c r="D58" s="75"/>
      <c r="E58" s="64"/>
      <c r="F58" s="65"/>
      <c r="G58" s="76"/>
      <c r="H58" s="5"/>
      <c r="I58" s="5"/>
      <c r="J58" s="9"/>
      <c r="K58" s="67"/>
      <c r="L58" s="67"/>
      <c r="M58" s="77"/>
      <c r="N58" s="77"/>
      <c r="O58" s="72"/>
    </row>
    <row r="59" spans="1:15" x14ac:dyDescent="0.25">
      <c r="A59" s="60"/>
      <c r="B59" s="55"/>
      <c r="C59" s="70"/>
      <c r="D59" s="71"/>
      <c r="E59" s="21"/>
      <c r="F59" s="58"/>
      <c r="G59" s="72"/>
      <c r="H59" s="5"/>
      <c r="I59" s="5"/>
      <c r="J59" s="9"/>
      <c r="K59" s="5"/>
      <c r="L59" s="5"/>
      <c r="M59" s="73"/>
      <c r="N59" s="73"/>
      <c r="O59" s="72"/>
    </row>
    <row r="60" spans="1:15" x14ac:dyDescent="0.25">
      <c r="A60" s="60"/>
      <c r="B60" s="55"/>
      <c r="C60" s="70"/>
      <c r="D60" s="71"/>
      <c r="E60" s="21"/>
      <c r="F60" s="58"/>
      <c r="G60" s="72"/>
      <c r="H60" s="5"/>
      <c r="I60" s="5"/>
      <c r="J60" s="9"/>
      <c r="K60" s="5"/>
      <c r="L60" s="5"/>
      <c r="M60" s="73"/>
      <c r="N60" s="73"/>
      <c r="O60" s="72"/>
    </row>
    <row r="61" spans="1:15" x14ac:dyDescent="0.25">
      <c r="A61" s="5"/>
      <c r="B61" s="55"/>
      <c r="C61" s="70"/>
      <c r="D61" s="71"/>
      <c r="E61" s="21"/>
      <c r="F61" s="58"/>
      <c r="G61" s="72"/>
      <c r="H61" s="5"/>
      <c r="I61" s="5"/>
      <c r="J61" s="9"/>
      <c r="K61" s="5"/>
      <c r="L61" s="5"/>
      <c r="M61" s="73"/>
      <c r="N61" s="73"/>
      <c r="O61" s="72"/>
    </row>
    <row r="62" spans="1:15" x14ac:dyDescent="0.25">
      <c r="A62" s="60"/>
      <c r="B62" s="61"/>
      <c r="C62" s="74"/>
      <c r="D62" s="75"/>
      <c r="E62" s="64"/>
      <c r="F62" s="65"/>
      <c r="G62" s="76"/>
      <c r="H62" s="5"/>
      <c r="I62" s="5"/>
      <c r="J62" s="9"/>
      <c r="K62" s="67"/>
      <c r="L62" s="67"/>
      <c r="M62" s="77"/>
      <c r="N62" s="77"/>
      <c r="O62" s="72"/>
    </row>
    <row r="63" spans="1:15" x14ac:dyDescent="0.25">
      <c r="B63" s="52"/>
    </row>
    <row r="64" spans="1:15" x14ac:dyDescent="0.25">
      <c r="B64" s="52"/>
    </row>
    <row r="65" spans="2:2" x14ac:dyDescent="0.25">
      <c r="B65" s="52"/>
    </row>
    <row r="66" spans="2:2" x14ac:dyDescent="0.25">
      <c r="B66" s="52"/>
    </row>
    <row r="67" spans="2:2" x14ac:dyDescent="0.25">
      <c r="B67" s="52"/>
    </row>
    <row r="68" spans="2:2" x14ac:dyDescent="0.25">
      <c r="B68" s="52"/>
    </row>
    <row r="69" spans="2:2" x14ac:dyDescent="0.25">
      <c r="B69" s="52"/>
    </row>
    <row r="70" spans="2:2" x14ac:dyDescent="0.25">
      <c r="B70" s="52"/>
    </row>
    <row r="71" spans="2:2" x14ac:dyDescent="0.25">
      <c r="B71" s="52"/>
    </row>
    <row r="72" spans="2:2" x14ac:dyDescent="0.25">
      <c r="B72" s="52"/>
    </row>
    <row r="73" spans="2:2" x14ac:dyDescent="0.25">
      <c r="B73" s="52"/>
    </row>
    <row r="74" spans="2:2" x14ac:dyDescent="0.25">
      <c r="B74" s="52"/>
    </row>
    <row r="75" spans="2:2" x14ac:dyDescent="0.25">
      <c r="B75" s="52"/>
    </row>
    <row r="76" spans="2:2" x14ac:dyDescent="0.25">
      <c r="B76" s="52"/>
    </row>
    <row r="77" spans="2:2" x14ac:dyDescent="0.25">
      <c r="B77" s="52"/>
    </row>
    <row r="78" spans="2:2" x14ac:dyDescent="0.25">
      <c r="B78" s="52"/>
    </row>
    <row r="79" spans="2:2" x14ac:dyDescent="0.25">
      <c r="B79" s="52"/>
    </row>
    <row r="80" spans="2:2" x14ac:dyDescent="0.25">
      <c r="B80" s="52"/>
    </row>
    <row r="81" spans="2:2" x14ac:dyDescent="0.25">
      <c r="B81" s="52"/>
    </row>
    <row r="82" spans="2:2" x14ac:dyDescent="0.25">
      <c r="B82" s="52"/>
    </row>
    <row r="83" spans="2:2" x14ac:dyDescent="0.25">
      <c r="B83" s="52"/>
    </row>
    <row r="84" spans="2:2" x14ac:dyDescent="0.25">
      <c r="B84" s="52"/>
    </row>
    <row r="85" spans="2:2" x14ac:dyDescent="0.25">
      <c r="B85" s="52"/>
    </row>
    <row r="86" spans="2:2" x14ac:dyDescent="0.25">
      <c r="B86" s="52"/>
    </row>
    <row r="87" spans="2:2" x14ac:dyDescent="0.25">
      <c r="B87" s="52"/>
    </row>
    <row r="88" spans="2:2" x14ac:dyDescent="0.25">
      <c r="B88" s="52"/>
    </row>
    <row r="89" spans="2:2" x14ac:dyDescent="0.25">
      <c r="B89" s="52"/>
    </row>
    <row r="90" spans="2:2" x14ac:dyDescent="0.25">
      <c r="B90" s="52"/>
    </row>
    <row r="91" spans="2:2" x14ac:dyDescent="0.25">
      <c r="B91" s="52"/>
    </row>
    <row r="92" spans="2:2" x14ac:dyDescent="0.25">
      <c r="B92"/>
    </row>
    <row r="93" spans="2:2" x14ac:dyDescent="0.25">
      <c r="B93"/>
    </row>
    <row r="94" spans="2:2" x14ac:dyDescent="0.25">
      <c r="B94" s="52"/>
    </row>
    <row r="95" spans="2:2" x14ac:dyDescent="0.25">
      <c r="B95" s="52"/>
    </row>
    <row r="96" spans="2:2" x14ac:dyDescent="0.25">
      <c r="B96" s="52"/>
    </row>
    <row r="97" spans="2:2" x14ac:dyDescent="0.25">
      <c r="B97" s="52"/>
    </row>
    <row r="98" spans="2:2" x14ac:dyDescent="0.25">
      <c r="B98" s="52"/>
    </row>
    <row r="99" spans="2:2" x14ac:dyDescent="0.25">
      <c r="B99" s="52"/>
    </row>
    <row r="100" spans="2:2" x14ac:dyDescent="0.25">
      <c r="B100" s="52"/>
    </row>
    <row r="101" spans="2:2" x14ac:dyDescent="0.25">
      <c r="B101" s="52"/>
    </row>
  </sheetData>
  <mergeCells count="2">
    <mergeCell ref="H2:L2"/>
    <mergeCell ref="M2:O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mend_Template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upe">
                <anchor moveWithCells="1" sizeWithCells="1">
                  <from>
                    <xdr:col>16</xdr:col>
                    <xdr:colOff>0</xdr:colOff>
                    <xdr:row>2</xdr:row>
                    <xdr:rowOff>66675</xdr:rowOff>
                  </from>
                  <to>
                    <xdr:col>17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mageify">
                <anchor moveWithCells="1" sizeWithCells="1">
                  <from>
                    <xdr:col>17</xdr:col>
                    <xdr:colOff>66675</xdr:colOff>
                    <xdr:row>1</xdr:row>
                    <xdr:rowOff>0</xdr:rowOff>
                  </from>
                  <to>
                    <xdr:col>17</xdr:col>
                    <xdr:colOff>971550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RemoveAllImages">
                <anchor moveWithCells="1" sizeWithCells="1">
                  <from>
                    <xdr:col>17</xdr:col>
                    <xdr:colOff>66675</xdr:colOff>
                    <xdr:row>2</xdr:row>
                    <xdr:rowOff>66675</xdr:rowOff>
                  </from>
                  <to>
                    <xdr:col>17</xdr:col>
                    <xdr:colOff>971550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2C5C7A131FE8646BF41873A6470060B" ma:contentTypeVersion="6" ma:contentTypeDescription="Create a new document." ma:contentTypeScope="" ma:versionID="c5998391b5b201080a0d21639eb996ef">
  <xsd:schema xmlns:xsd="http://www.w3.org/2001/XMLSchema" xmlns:xs="http://www.w3.org/2001/XMLSchema" xmlns:p="http://schemas.microsoft.com/office/2006/metadata/properties" xmlns:ns2="fb028cda-1e09-47ce-a127-84c349bcd460" xmlns:ns3="08554f0d-6bf0-41be-9eb9-b27e54f3bb8a" targetNamespace="http://schemas.microsoft.com/office/2006/metadata/properties" ma:root="true" ma:fieldsID="9eb9d47b5f4f5d6a7b9699b888ec116d" ns2:_="" ns3:_="">
    <xsd:import namespace="fb028cda-1e09-47ce-a127-84c349bcd460"/>
    <xsd:import namespace="08554f0d-6bf0-41be-9eb9-b27e54f3bb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28cda-1e09-47ce-a127-84c349bcd46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554f0d-6bf0-41be-9eb9-b27e54f3bb8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CC2D1F-E465-4A3C-98CE-60E7E3133B3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96BD021-B026-44DE-B821-8386306B0E60}">
  <ds:schemaRefs>
    <ds:schemaRef ds:uri="http://schemas.microsoft.com/office/2006/documentManagement/types"/>
    <ds:schemaRef ds:uri="http://schemas.microsoft.com/office/infopath/2007/PartnerControls"/>
    <ds:schemaRef ds:uri="08554f0d-6bf0-41be-9eb9-b27e54f3bb8a"/>
    <ds:schemaRef ds:uri="http://purl.org/dc/elements/1.1/"/>
    <ds:schemaRef ds:uri="http://schemas.microsoft.com/office/2006/metadata/properties"/>
    <ds:schemaRef ds:uri="fb028cda-1e09-47ce-a127-84c349bcd460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C26283B-E8E8-46EB-A055-671DF09603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028cda-1e09-47ce-a127-84c349bcd460"/>
    <ds:schemaRef ds:uri="08554f0d-6bf0-41be-9eb9-b27e54f3bb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Extras</vt:lpstr>
      <vt:lpstr>TestLog</vt:lpstr>
      <vt:lpstr>Template</vt:lpstr>
      <vt:lpstr>Scenarios</vt:lpstr>
    </vt:vector>
  </TitlesOfParts>
  <Company>University Hospitals of North Midlands NHS Trust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parfic90</dc:creator>
  <cp:lastModifiedBy>BECKEL201</cp:lastModifiedBy>
  <cp:revision/>
  <cp:lastPrinted>2022-10-26T09:16:05Z</cp:lastPrinted>
  <dcterms:created xsi:type="dcterms:W3CDTF">2021-04-06T09:56:36Z</dcterms:created>
  <dcterms:modified xsi:type="dcterms:W3CDTF">2022-12-08T16:19:29Z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0x01010032C5C7A131FE8646BF41873A6470060B</vt:lpwstr>
  </property>
</Properties>
</file>